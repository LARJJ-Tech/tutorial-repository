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erauedu-my.sharepoint.com/personal/martinl7_my_erau_edu/Documents/AE 435 Project/"/>
    </mc:Choice>
  </mc:AlternateContent>
  <xr:revisionPtr revIDLastSave="1" documentId="13_ncr:9_{63D65F78-CB3E-45A2-9FE5-2C37E05455C6}" xr6:coauthVersionLast="47" xr6:coauthVersionMax="47" xr10:uidLastSave="{8267AA8A-A19E-4554-B7DD-13A7C32901F4}"/>
  <bookViews>
    <workbookView xWindow="18990" yWindow="-16320" windowWidth="29040" windowHeight="15720" xr2:uid="{3D105C03-0E16-48E2-B58A-A04E3FE8EAAA}"/>
  </bookViews>
  <sheets>
    <sheet name="combustor_calcs(CRUIS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B3" i="1"/>
</calcChain>
</file>

<file path=xl/sharedStrings.xml><?xml version="1.0" encoding="utf-8"?>
<sst xmlns="http://schemas.openxmlformats.org/spreadsheetml/2006/main" count="66" uniqueCount="46">
  <si>
    <t>Constants</t>
  </si>
  <si>
    <t>cruise</t>
  </si>
  <si>
    <t>mair</t>
  </si>
  <si>
    <t>FAR</t>
  </si>
  <si>
    <t>mfuel</t>
  </si>
  <si>
    <t>Far_stoich</t>
  </si>
  <si>
    <t>eq/ratio</t>
  </si>
  <si>
    <t>Case 1</t>
  </si>
  <si>
    <t>Primary zone</t>
  </si>
  <si>
    <t>Second zone</t>
  </si>
  <si>
    <t>Third zone</t>
  </si>
  <si>
    <t>mair_used</t>
  </si>
  <si>
    <t>mair_left</t>
  </si>
  <si>
    <t>mleft</t>
  </si>
  <si>
    <t>m_used</t>
  </si>
  <si>
    <t>far</t>
  </si>
  <si>
    <t>far_stoich</t>
  </si>
  <si>
    <t xml:space="preserve">OPTIMIZED </t>
  </si>
  <si>
    <t>THE HIGHLIGTED ONE ARE THE ONES THAT MATTER, THOSE ARE INSIDE THE COMBUSTOR</t>
  </si>
  <si>
    <t>MASS USED</t>
  </si>
  <si>
    <t>EQ/RATIO</t>
  </si>
  <si>
    <t>SEC RATIO</t>
  </si>
  <si>
    <t>CASE</t>
  </si>
  <si>
    <t>CRUISE</t>
  </si>
  <si>
    <t>TOC</t>
  </si>
  <si>
    <t>MANEUVER</t>
  </si>
  <si>
    <t>CEILING</t>
  </si>
  <si>
    <t>TOLDG</t>
  </si>
  <si>
    <t>SEC MASS</t>
  </si>
  <si>
    <t>COMB LOAD</t>
  </si>
  <si>
    <t>EQ RATIO</t>
  </si>
  <si>
    <t>serv ceil</t>
  </si>
  <si>
    <t>abs ceil</t>
  </si>
  <si>
    <t>maneuv</t>
  </si>
  <si>
    <t>TO</t>
  </si>
  <si>
    <t>SLS</t>
  </si>
  <si>
    <t>c1</t>
  </si>
  <si>
    <t>c2</t>
  </si>
  <si>
    <t>c3</t>
  </si>
  <si>
    <t>c4</t>
  </si>
  <si>
    <t>c5</t>
  </si>
  <si>
    <t>d5</t>
  </si>
  <si>
    <t>d4</t>
  </si>
  <si>
    <t>d3</t>
  </si>
  <si>
    <t>d2</t>
  </si>
  <si>
    <t>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</si>
</sst>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FF88-DE6A-45E9-A3A3-F8D636915207}">
  <dimension ref="A1:T31"/>
  <sheetViews>
    <sheetView tabSelected="1" workbookViewId="0">
      <selection activeCell="L27" sqref="L27"/>
    </sheetView>
  </sheetViews>
  <sheetFormatPr defaultRowHeight="14.4" x14ac:dyDescent="0.3"/>
  <cols>
    <col min="1" max="1" width="12.109375" bestFit="1" customWidth="1"/>
  </cols>
  <sheetData>
    <row r="1" spans="1:17" x14ac:dyDescent="0.3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3">
      <c r="A2" t="s">
        <v>2</v>
      </c>
      <c r="B2">
        <v>5.81447</v>
      </c>
      <c r="C2">
        <v>5.6550099999999999</v>
      </c>
      <c r="D2">
        <v>5.5778800000000004</v>
      </c>
      <c r="E2">
        <v>15.2774</v>
      </c>
      <c r="F2">
        <v>16.109200000000001</v>
      </c>
      <c r="G2">
        <v>14.8345</v>
      </c>
      <c r="H2">
        <v>17.146999999999998</v>
      </c>
      <c r="I2">
        <v>13.9757</v>
      </c>
      <c r="J2">
        <v>11.2301</v>
      </c>
      <c r="K2">
        <v>8.57437</v>
      </c>
      <c r="L2">
        <v>5.8151799999999998</v>
      </c>
      <c r="M2">
        <v>3.4851999999999999</v>
      </c>
      <c r="N2">
        <v>4.4979399999999998</v>
      </c>
      <c r="O2">
        <v>5.8959099999999998</v>
      </c>
      <c r="P2">
        <v>8.1621100000000002</v>
      </c>
      <c r="Q2">
        <v>11.614000000000001</v>
      </c>
    </row>
    <row r="3" spans="1:17" x14ac:dyDescent="0.3">
      <c r="A3" t="s">
        <v>3</v>
      </c>
      <c r="B3">
        <f>B4/B2</f>
        <v>2.0706788408917754E-2</v>
      </c>
      <c r="C3">
        <f t="shared" ref="C3:Q3" si="0">C4/C2</f>
        <v>2.4426128335758912E-2</v>
      </c>
      <c r="D3">
        <f t="shared" si="0"/>
        <v>2.5413060159056842E-2</v>
      </c>
      <c r="E3">
        <f t="shared" si="0"/>
        <v>2.1691387277939966E-2</v>
      </c>
      <c r="F3">
        <f t="shared" si="0"/>
        <v>2.1323839793409974E-2</v>
      </c>
      <c r="G3">
        <f t="shared" si="0"/>
        <v>1.9559675081735145E-2</v>
      </c>
      <c r="H3">
        <f t="shared" si="0"/>
        <v>2.1272000933107833E-2</v>
      </c>
      <c r="I3">
        <f t="shared" si="0"/>
        <v>2.1456456563893042E-2</v>
      </c>
      <c r="J3">
        <f t="shared" si="0"/>
        <v>2.2427493967106259E-2</v>
      </c>
      <c r="K3">
        <f t="shared" si="0"/>
        <v>2.4848822712339215E-2</v>
      </c>
      <c r="L3">
        <f t="shared" si="0"/>
        <v>2.5712703648038408E-2</v>
      </c>
      <c r="M3">
        <f t="shared" si="0"/>
        <v>1.9286382417077929E-2</v>
      </c>
      <c r="N3">
        <f t="shared" si="0"/>
        <v>1.6730014184271023E-2</v>
      </c>
      <c r="O3">
        <f t="shared" si="0"/>
        <v>1.5634957114338585E-2</v>
      </c>
      <c r="P3">
        <f t="shared" si="0"/>
        <v>1.5540956933930072E-2</v>
      </c>
      <c r="Q3">
        <f t="shared" si="0"/>
        <v>1.6362665748234889E-2</v>
      </c>
    </row>
    <row r="4" spans="1:17" x14ac:dyDescent="0.3">
      <c r="A4" t="s">
        <v>4</v>
      </c>
      <c r="B4">
        <v>0.12039900000000001</v>
      </c>
      <c r="C4">
        <v>0.13813</v>
      </c>
      <c r="D4">
        <v>0.14175099999999999</v>
      </c>
      <c r="E4">
        <v>0.33138800000000002</v>
      </c>
      <c r="F4">
        <v>0.34350999999999998</v>
      </c>
      <c r="G4">
        <v>0.29015800000000003</v>
      </c>
      <c r="H4">
        <v>0.36475099999999999</v>
      </c>
      <c r="I4">
        <v>0.299869</v>
      </c>
      <c r="J4">
        <v>0.251863</v>
      </c>
      <c r="K4">
        <v>0.213063</v>
      </c>
      <c r="L4">
        <v>0.14952399999999999</v>
      </c>
      <c r="M4">
        <v>6.7216899999999996E-2</v>
      </c>
      <c r="N4">
        <v>7.5250600000000001E-2</v>
      </c>
      <c r="O4">
        <v>9.2182299999999995E-2</v>
      </c>
      <c r="P4">
        <v>0.12684699999999999</v>
      </c>
      <c r="Q4">
        <v>0.19003600000000001</v>
      </c>
    </row>
    <row r="5" spans="1:17" x14ac:dyDescent="0.3">
      <c r="A5" t="s">
        <v>5</v>
      </c>
      <c r="B5">
        <v>6.7000000000000004E-2</v>
      </c>
      <c r="C5">
        <v>6.7000000000000004E-2</v>
      </c>
      <c r="D5">
        <v>6.7000000000000004E-2</v>
      </c>
      <c r="E5">
        <v>6.7000000000000004E-2</v>
      </c>
      <c r="F5">
        <v>6.7000000000000004E-2</v>
      </c>
      <c r="G5">
        <v>6.7000000000000004E-2</v>
      </c>
      <c r="H5">
        <v>6.7000000000000004E-2</v>
      </c>
      <c r="I5">
        <v>6.7000000000000004E-2</v>
      </c>
      <c r="J5">
        <v>6.7000000000000004E-2</v>
      </c>
      <c r="K5">
        <v>6.7000000000000004E-2</v>
      </c>
      <c r="L5">
        <v>6.7000000000000004E-2</v>
      </c>
      <c r="M5">
        <v>6.7000000000000004E-2</v>
      </c>
      <c r="N5">
        <v>6.7000000000000004E-2</v>
      </c>
      <c r="O5">
        <v>6.7000000000000004E-2</v>
      </c>
      <c r="P5">
        <v>6.7000000000000004E-2</v>
      </c>
      <c r="Q5">
        <v>6.7000000000000004E-2</v>
      </c>
    </row>
    <row r="6" spans="1:17" x14ac:dyDescent="0.3">
      <c r="A6" t="s">
        <v>6</v>
      </c>
    </row>
    <row r="7" spans="1:17" x14ac:dyDescent="0.3">
      <c r="C7" t="s">
        <v>7</v>
      </c>
    </row>
    <row r="8" spans="1:17" x14ac:dyDescent="0.3">
      <c r="A8" t="s">
        <v>8</v>
      </c>
      <c r="C8" t="s">
        <v>9</v>
      </c>
      <c r="G8" t="s">
        <v>10</v>
      </c>
    </row>
    <row r="9" spans="1:17" x14ac:dyDescent="0.3">
      <c r="A9" t="s">
        <v>11</v>
      </c>
      <c r="B9">
        <v>2.2057595999999999</v>
      </c>
      <c r="D9" t="s">
        <v>12</v>
      </c>
      <c r="E9">
        <v>4.4783603999999997</v>
      </c>
      <c r="G9" t="s">
        <v>13</v>
      </c>
      <c r="H9">
        <v>0.761321268</v>
      </c>
    </row>
    <row r="10" spans="1:17" x14ac:dyDescent="0.3">
      <c r="A10" t="s">
        <v>3</v>
      </c>
      <c r="B10">
        <v>6.8383699000000006E-2</v>
      </c>
      <c r="D10" t="s">
        <v>11</v>
      </c>
      <c r="E10">
        <v>3.717039132</v>
      </c>
      <c r="G10" t="s">
        <v>14</v>
      </c>
      <c r="H10">
        <v>0.761321268</v>
      </c>
    </row>
    <row r="11" spans="1:17" x14ac:dyDescent="0.3">
      <c r="A11" t="s">
        <v>4</v>
      </c>
      <c r="B11">
        <v>0.150838</v>
      </c>
      <c r="D11" t="s">
        <v>3</v>
      </c>
      <c r="E11">
        <v>4.0580149000000003E-2</v>
      </c>
      <c r="G11" t="s">
        <v>15</v>
      </c>
      <c r="H11">
        <v>2.2566620999999999E-2</v>
      </c>
    </row>
    <row r="12" spans="1:17" x14ac:dyDescent="0.3">
      <c r="A12" t="s">
        <v>5</v>
      </c>
      <c r="B12">
        <v>6.7000000000000004E-2</v>
      </c>
      <c r="D12" t="s">
        <v>4</v>
      </c>
      <c r="E12">
        <v>0.150838</v>
      </c>
      <c r="G12" t="s">
        <v>4</v>
      </c>
      <c r="H12">
        <v>0.150838</v>
      </c>
    </row>
    <row r="13" spans="1:17" x14ac:dyDescent="0.3">
      <c r="A13" t="s">
        <v>6</v>
      </c>
      <c r="B13">
        <v>1.0206522200000001</v>
      </c>
      <c r="D13" t="s">
        <v>16</v>
      </c>
      <c r="E13">
        <v>6.7000000000000004E-2</v>
      </c>
      <c r="G13" t="s">
        <v>16</v>
      </c>
      <c r="H13">
        <v>6.7000000000000004E-2</v>
      </c>
    </row>
    <row r="14" spans="1:17" x14ac:dyDescent="0.3">
      <c r="D14" t="s">
        <v>6</v>
      </c>
      <c r="E14">
        <v>0.60567385799999995</v>
      </c>
      <c r="G14" t="s">
        <v>6</v>
      </c>
      <c r="H14">
        <v>0.33681523299999999</v>
      </c>
    </row>
    <row r="17" spans="1:20" x14ac:dyDescent="0.3">
      <c r="A17" t="s">
        <v>17</v>
      </c>
      <c r="B17">
        <v>33</v>
      </c>
      <c r="E17">
        <v>83</v>
      </c>
    </row>
    <row r="18" spans="1:20" x14ac:dyDescent="0.3">
      <c r="C18" t="s">
        <v>18</v>
      </c>
    </row>
    <row r="20" spans="1:20" x14ac:dyDescent="0.3">
      <c r="A20" t="s">
        <v>19</v>
      </c>
      <c r="B20">
        <v>2.2057595999999999</v>
      </c>
      <c r="C20">
        <v>2.4615062999999999</v>
      </c>
      <c r="D20">
        <v>5.5692120000000003</v>
      </c>
      <c r="E20">
        <v>1.977822</v>
      </c>
      <c r="F20">
        <v>6.3541499999999997</v>
      </c>
    </row>
    <row r="21" spans="1:20" x14ac:dyDescent="0.3">
      <c r="A21" t="s">
        <v>20</v>
      </c>
      <c r="B21">
        <v>1.0206522200000001</v>
      </c>
      <c r="C21">
        <v>1.0223323870000001</v>
      </c>
      <c r="D21">
        <v>1.015717532</v>
      </c>
      <c r="E21">
        <v>1.040063111</v>
      </c>
      <c r="F21">
        <v>1.0364997090000001</v>
      </c>
    </row>
    <row r="22" spans="1:20" x14ac:dyDescent="0.3">
      <c r="A22" t="s">
        <v>21</v>
      </c>
      <c r="B22">
        <v>0.60567385799999995</v>
      </c>
      <c r="C22">
        <v>0.71801517999999998</v>
      </c>
      <c r="D22">
        <v>6.1129321430000001</v>
      </c>
      <c r="E22">
        <v>0.52661033800000001</v>
      </c>
      <c r="F22">
        <v>24.047730609999999</v>
      </c>
      <c r="O22" t="s">
        <v>22</v>
      </c>
      <c r="P22" t="s">
        <v>23</v>
      </c>
      <c r="Q22" t="s">
        <v>24</v>
      </c>
      <c r="R22" t="s">
        <v>25</v>
      </c>
      <c r="S22" t="s">
        <v>26</v>
      </c>
      <c r="T22" t="s">
        <v>27</v>
      </c>
    </row>
    <row r="23" spans="1:20" x14ac:dyDescent="0.3">
      <c r="A23" t="s">
        <v>28</v>
      </c>
      <c r="B23">
        <v>3.717039132</v>
      </c>
      <c r="C23">
        <v>3.5047693710000001</v>
      </c>
      <c r="D23">
        <v>0.92537364</v>
      </c>
      <c r="E23">
        <v>3.90622734</v>
      </c>
      <c r="F23">
        <v>0.27387509999999998</v>
      </c>
      <c r="O23" t="s">
        <v>20</v>
      </c>
      <c r="P23">
        <v>1.02</v>
      </c>
      <c r="Q23">
        <v>1.0032000000000001</v>
      </c>
      <c r="R23">
        <v>0.78029999999999999</v>
      </c>
      <c r="S23">
        <v>1.1367</v>
      </c>
      <c r="T23">
        <v>0.69120000000000004</v>
      </c>
    </row>
    <row r="24" spans="1:20" x14ac:dyDescent="0.3">
      <c r="A24" t="s">
        <v>29</v>
      </c>
      <c r="B24">
        <v>7.4385000000000003</v>
      </c>
      <c r="C24">
        <v>6.8442999999999996</v>
      </c>
      <c r="D24">
        <v>7.5743</v>
      </c>
      <c r="E24">
        <v>5.6920000000000002</v>
      </c>
      <c r="F24">
        <v>10.516500000000001</v>
      </c>
      <c r="O24" t="s">
        <v>29</v>
      </c>
      <c r="P24">
        <v>7.4385000000000003</v>
      </c>
      <c r="Q24">
        <v>6.8442999999999996</v>
      </c>
      <c r="R24">
        <v>7.5743</v>
      </c>
      <c r="S24">
        <v>5.6920000000000002</v>
      </c>
      <c r="T24">
        <v>10.516500000000001</v>
      </c>
    </row>
    <row r="26" spans="1:20" x14ac:dyDescent="0.3">
      <c r="O26" t="s">
        <v>22</v>
      </c>
      <c r="P26" t="s">
        <v>29</v>
      </c>
      <c r="Q26" t="s">
        <v>30</v>
      </c>
    </row>
    <row r="27" spans="1:20" x14ac:dyDescent="0.3">
      <c r="O27" t="s">
        <v>23</v>
      </c>
      <c r="P27">
        <v>7.4385000000000003</v>
      </c>
      <c r="Q27">
        <v>1.0199951009999999</v>
      </c>
    </row>
    <row r="28" spans="1:20" x14ac:dyDescent="0.3">
      <c r="O28" t="s">
        <v>24</v>
      </c>
      <c r="P28">
        <v>6.8442999999999996</v>
      </c>
      <c r="Q28">
        <v>1.0031764620000001</v>
      </c>
    </row>
    <row r="29" spans="1:20" x14ac:dyDescent="0.3">
      <c r="O29" t="s">
        <v>25</v>
      </c>
      <c r="P29">
        <v>7.5743</v>
      </c>
      <c r="Q29">
        <v>0.78029999999999999</v>
      </c>
    </row>
    <row r="30" spans="1:20" x14ac:dyDescent="0.3">
      <c r="O30" t="s">
        <v>26</v>
      </c>
      <c r="P30">
        <v>5.6920000000000002</v>
      </c>
      <c r="Q30">
        <v>1.1367</v>
      </c>
    </row>
    <row r="31" spans="1:20" x14ac:dyDescent="0.3">
      <c r="O31" t="s">
        <v>27</v>
      </c>
      <c r="P31">
        <v>10.516500000000001</v>
      </c>
      <c r="Q31">
        <v>0.69120000000000004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DFC4B7-DAB0-4869-A3D0-5A941C779D13}"/>
</file>

<file path=customXml/itemProps2.xml><?xml version="1.0" encoding="utf-8"?>
<ds:datastoreItem xmlns:ds="http://schemas.openxmlformats.org/officeDocument/2006/customXml" ds:itemID="{3F72A66C-F464-4C2C-8790-9118FC77AE84}"/>
</file>

<file path=customXml/itemProps3.xml><?xml version="1.0" encoding="utf-8"?>
<ds:datastoreItem xmlns:ds="http://schemas.openxmlformats.org/officeDocument/2006/customXml" ds:itemID="{9FD8CF24-AA71-4BA3-B9DF-DA62C2F69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combustor_calcs(CRUISE)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Martins, Lauren M.</dc:creator>
  <cp:lastModifiedBy>Clardy, John S.</cp:lastModifiedBy>
  <dcterms:created xsi:type="dcterms:W3CDTF">2026-04-25T20:25:06Z</dcterms:created>
  <dcterms:modified xsi:type="dcterms:W3CDTF">2026-04-25T23:02:17Z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